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bnpparibas-my.sharepoint.com/personal/marymelody_morel_bnpparibas_com/Documents/VBA/"/>
    </mc:Choice>
  </mc:AlternateContent>
  <xr:revisionPtr revIDLastSave="637" documentId="8_{1E221747-E281-4C42-B28A-878F197E5199}" xr6:coauthVersionLast="47" xr6:coauthVersionMax="47" xr10:uidLastSave="{ACC9D1ED-5115-472D-9BD2-06A993114EC7}"/>
  <bookViews>
    <workbookView xWindow="-120" yWindow="-120" windowWidth="29040" windowHeight="15720" xr2:uid="{27E1F23C-DCC1-42B3-A294-C64ECB42F465}"/>
  </bookViews>
  <sheets>
    <sheet name="Options CAC 40 stocks" sheetId="1" r:id="rId1"/>
  </sheets>
  <functionGroups builtInGroupCount="19"/>
  <definedNames>
    <definedName name="_xlnm._FilterDatabase" localSheetId="0" hidden="1">'Options CAC 40 stocks'!$A$6:$E$6</definedName>
    <definedName name="_xleta.LOG" hidden="1" xlm="1">#NAME?</definedName>
    <definedName name="_xleta.RAND" hidden="1" xlm="1">#NAME?</definedName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" i="1" l="1" a="1"/>
  <c r="D9" i="1" a="1"/>
  <c r="D7" i="1" a="1"/>
  <c r="D8" i="1" a="1"/>
  <c r="D19" i="1" a="1"/>
  <c r="E16" i="1" a="1"/>
  <c r="E34" i="1" a="1"/>
  <c r="E45" i="1" a="1"/>
  <c r="E40" i="1" a="1"/>
  <c r="E8" i="1" a="1"/>
  <c r="E24" i="1" a="1"/>
  <c r="E26" i="1" a="1"/>
  <c r="E32" i="1" a="1"/>
  <c r="E37" i="1" a="1"/>
  <c r="E44" i="1" a="1"/>
  <c r="E18" i="1" a="1"/>
  <c r="E22" i="1" a="1"/>
  <c r="E33" i="1" a="1"/>
  <c r="E41" i="1" a="1"/>
  <c r="E29" i="1" a="1"/>
  <c r="E14" i="1" a="1"/>
  <c r="E12" i="1" a="1"/>
  <c r="E38" i="1" a="1"/>
  <c r="E39" i="1" a="1"/>
  <c r="E11" i="1" a="1"/>
  <c r="E13" i="1" a="1"/>
  <c r="E20" i="1" a="1"/>
  <c r="E15" i="1" a="1"/>
  <c r="E19" i="1" a="1"/>
  <c r="E30" i="1" a="1"/>
  <c r="E27" i="1" a="1"/>
  <c r="E36" i="1" a="1"/>
  <c r="E21" i="1" a="1"/>
  <c r="E42" i="1" a="1"/>
  <c r="E31" i="1" a="1"/>
  <c r="E17" i="1" a="1"/>
  <c r="E43" i="1" a="1"/>
  <c r="E10" i="1" a="1"/>
  <c r="E28" i="1" a="1"/>
  <c r="E25" i="1" a="1"/>
  <c r="E23" i="1" a="1"/>
  <c r="E9" i="1" a="1"/>
  <c r="E46" i="1" a="1"/>
  <c r="E35" i="1" a="1"/>
  <c r="D34" i="1" a="1"/>
  <c r="D40" i="1" a="1"/>
  <c r="D26" i="1" a="1"/>
  <c r="D37" i="1" a="1"/>
  <c r="D20" i="1" a="1"/>
  <c r="D30" i="1" a="1"/>
  <c r="D22" i="1" a="1"/>
  <c r="D16" i="1" a="1"/>
  <c r="D45" i="1" a="1"/>
  <c r="D24" i="1" a="1"/>
  <c r="D32" i="1" a="1"/>
  <c r="D23" i="1" a="1"/>
  <c r="D18" i="1" a="1"/>
  <c r="D46" i="1" a="1"/>
  <c r="D33" i="1" a="1"/>
  <c r="D41" i="1" a="1"/>
  <c r="D29" i="1" a="1"/>
  <c r="D14" i="1" a="1"/>
  <c r="D12" i="1" a="1"/>
  <c r="D38" i="1" a="1"/>
  <c r="D39" i="1" a="1"/>
  <c r="D11" i="1" a="1"/>
  <c r="D13" i="1" a="1"/>
  <c r="D15" i="1" a="1"/>
  <c r="D36" i="1" a="1"/>
  <c r="D21" i="1" a="1"/>
  <c r="D42" i="1" a="1"/>
  <c r="D31" i="1" a="1"/>
  <c r="D17" i="1" a="1"/>
  <c r="D43" i="1" a="1"/>
  <c r="D10" i="1" a="1"/>
  <c r="D28" i="1" a="1"/>
  <c r="D25" i="1" a="1"/>
  <c r="D44" i="1" a="1"/>
  <c r="D27" i="1" a="1"/>
  <c r="D35" i="1" a="1"/>
  <c r="E7" i="1" l="1"/>
  <c r="D8" i="1"/>
  <c r="D7" i="1"/>
  <c r="D9" i="1"/>
  <c r="D19" i="1"/>
  <c r="E46" i="1"/>
  <c r="E9" i="1"/>
  <c r="E23" i="1"/>
  <c r="E25" i="1"/>
  <c r="E28" i="1"/>
  <c r="E10" i="1"/>
  <c r="E43" i="1"/>
  <c r="E17" i="1"/>
  <c r="E31" i="1"/>
  <c r="E42" i="1"/>
  <c r="E21" i="1"/>
  <c r="E36" i="1"/>
  <c r="E27" i="1"/>
  <c r="E30" i="1"/>
  <c r="E19" i="1"/>
  <c r="E15" i="1"/>
  <c r="E20" i="1"/>
  <c r="E13" i="1"/>
  <c r="E11" i="1"/>
  <c r="E39" i="1"/>
  <c r="E38" i="1"/>
  <c r="E12" i="1"/>
  <c r="E14" i="1"/>
  <c r="E29" i="1"/>
  <c r="E41" i="1"/>
  <c r="E33" i="1"/>
  <c r="E22" i="1"/>
  <c r="E18" i="1"/>
  <c r="E44" i="1"/>
  <c r="E37" i="1"/>
  <c r="E32" i="1"/>
  <c r="E26" i="1"/>
  <c r="E24" i="1"/>
  <c r="E8" i="1"/>
  <c r="E40" i="1"/>
  <c r="E45" i="1"/>
  <c r="E34" i="1"/>
  <c r="E16" i="1"/>
  <c r="E35" i="1"/>
  <c r="D27" i="1"/>
  <c r="D44" i="1"/>
  <c r="D25" i="1"/>
  <c r="D28" i="1"/>
  <c r="D10" i="1"/>
  <c r="D43" i="1"/>
  <c r="D17" i="1"/>
  <c r="D31" i="1"/>
  <c r="D42" i="1"/>
  <c r="D21" i="1"/>
  <c r="D36" i="1"/>
  <c r="D15" i="1"/>
  <c r="D13" i="1"/>
  <c r="D11" i="1"/>
  <c r="D39" i="1"/>
  <c r="D38" i="1"/>
  <c r="D12" i="1"/>
  <c r="D14" i="1"/>
  <c r="D29" i="1"/>
  <c r="D41" i="1"/>
  <c r="D33" i="1"/>
  <c r="D46" i="1"/>
  <c r="D18" i="1"/>
  <c r="D23" i="1"/>
  <c r="D32" i="1"/>
  <c r="D24" i="1"/>
  <c r="D45" i="1"/>
  <c r="D16" i="1"/>
  <c r="D22" i="1"/>
  <c r="D30" i="1"/>
  <c r="D20" i="1"/>
  <c r="D37" i="1"/>
  <c r="D26" i="1"/>
  <c r="D40" i="1"/>
  <c r="D34" i="1"/>
  <c r="D3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tc={808A9338-197D-4478-8FF7-A23E49A0943D}</author>
  </authors>
  <commentList>
    <comment ref="C18" authorId="0" shapeId="0" xr:uid="{808A9338-197D-4478-8FF7-A23E49A0943D}">
      <text>
        <t>[Threaded comment]
Your version of Excel allows you to read this threaded comment; however, any edits to it will get removed if the file is opened in a newer version of Excel. Learn more: https://go.microsoft.com/fwlink/?linkid=870924
Comment:
    ATM by default (no real data)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<sst xmlns="http://schemas.openxmlformats.org/spreadsheetml/2006/main" count="50" uniqueCount="50">
  <si>
    <t>Date</t>
  </si>
  <si>
    <t>Euribor 1y</t>
  </si>
  <si>
    <t>Implied volatility index</t>
  </si>
  <si>
    <t>Maturity date T</t>
  </si>
  <si>
    <t>t in year</t>
  </si>
  <si>
    <t>Strike K</t>
  </si>
  <si>
    <t>Accor SA</t>
  </si>
  <si>
    <t>Air Liquide SA</t>
  </si>
  <si>
    <t>Airbus SE</t>
  </si>
  <si>
    <t>ArcelorMittal SA</t>
  </si>
  <si>
    <t>AXA SA</t>
  </si>
  <si>
    <t>BNP Paribas SA</t>
  </si>
  <si>
    <t>Bouygues SA</t>
  </si>
  <si>
    <t>Bureau Veritas SA</t>
  </si>
  <si>
    <t>Capgemini SE</t>
  </si>
  <si>
    <t>Carrefour SA</t>
  </si>
  <si>
    <t>Credit Agricole SA</t>
  </si>
  <si>
    <t>Danone SA</t>
  </si>
  <si>
    <t>Dassault Systemes SE</t>
  </si>
  <si>
    <t>Eiffage SA</t>
  </si>
  <si>
    <t>Engie SA</t>
  </si>
  <si>
    <t>EssilorLuxottica SA</t>
  </si>
  <si>
    <t>Eurofins Scientific SE</t>
  </si>
  <si>
    <t>Euronext NV</t>
  </si>
  <si>
    <t>Hermes International SCA</t>
  </si>
  <si>
    <t>Kering SA</t>
  </si>
  <si>
    <t>Legrand SA</t>
  </si>
  <si>
    <t>L'Oreal SA</t>
  </si>
  <si>
    <t>LVMH Moet Hennessy Louis Vuitt</t>
  </si>
  <si>
    <t>Michelin</t>
  </si>
  <si>
    <t>Orange SA</t>
  </si>
  <si>
    <t>Pernod Ricard SA</t>
  </si>
  <si>
    <t>Publicis Groupe SA</t>
  </si>
  <si>
    <t>Renault SA</t>
  </si>
  <si>
    <t>Safran SA</t>
  </si>
  <si>
    <t>Saint-Gobain SA</t>
  </si>
  <si>
    <t>Sanofi SA</t>
  </si>
  <si>
    <t>Schneider Electric SE</t>
  </si>
  <si>
    <t>Societe Generale SA</t>
  </si>
  <si>
    <t>Stellantis NV</t>
  </si>
  <si>
    <t>STMicroelectronics NV</t>
  </si>
  <si>
    <t>Thales SA</t>
  </si>
  <si>
    <t>TotalEnergies SE</t>
  </si>
  <si>
    <t>Unibail-Rodamco-Westfield</t>
  </si>
  <si>
    <t>Veolia Environnement SA</t>
  </si>
  <si>
    <t>Vinci SA</t>
  </si>
  <si>
    <t>Company</t>
  </si>
  <si>
    <t>BSM Put Premium</t>
  </si>
  <si>
    <t>BSM Call Premium</t>
  </si>
  <si>
    <t>S Fixing price as at 19/05/2026 (BBG data)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</si>
</sst>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/yy;@"/>
    <numFmt numFmtId="165" formatCode="0.00000"/>
  </numFmts>
  <fonts count="2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/>
        <bgColor theme="8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1"/>
      </top>
      <bottom/>
      <diagonal/>
    </border>
    <border>
      <left/>
      <right/>
      <top style="thin">
        <color theme="8"/>
      </top>
      <bottom/>
      <diagonal/>
    </border>
  </borders>
  <cellStyleXfs count="1">
    <xf numFmtId="0" fontId="0" fillId="0" borderId="0"/>
  </cellStyleXfs>
  <cellXfs count="12">
    <xf numFmtId="0" fontId="0" fillId="0" borderId="0" xfId="0"/>
    <xf numFmtId="14" fontId="0" fillId="0" borderId="0" xfId="0" applyNumberFormat="1"/>
    <xf numFmtId="10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0" fillId="3" borderId="1" xfId="0" applyFill="1" applyBorder="1"/>
    <xf numFmtId="2" fontId="0" fillId="3" borderId="1" xfId="0" applyNumberFormat="1" applyFill="1" applyBorder="1"/>
    <xf numFmtId="0" fontId="0" fillId="3" borderId="2" xfId="0" applyFill="1" applyBorder="1"/>
    <xf numFmtId="2" fontId="0" fillId="3" borderId="2" xfId="0" applyNumberFormat="1" applyFill="1" applyBorder="1"/>
    <xf numFmtId="0" fontId="0" fillId="4" borderId="2" xfId="0" applyFill="1" applyBorder="1"/>
    <xf numFmtId="2" fontId="0" fillId="4" borderId="2" xfId="0" applyNumberFormat="1" applyFill="1" applyBorder="1"/>
    <xf numFmtId="0" fontId="1" fillId="2" borderId="0" xfId="0" applyFont="1" applyFill="1" applyBorder="1"/>
  </cellXfs>
  <cellStyles count="1">
    <cellStyle name="Normal" xfId="0" builtinId="0"/>
  </cellStyles>
  <dxfs count="8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8"/>
          <bgColor theme="8"/>
        </patternFill>
      </fill>
    </dxf>
    <dxf>
      <fill>
        <patternFill patternType="solid">
          <fgColor theme="0" tint="-0.14999847407452621"/>
          <bgColor theme="0"/>
        </patternFill>
      </fill>
    </dxf>
    <dxf>
      <numFmt numFmtId="2" formatCode="0.00"/>
      <fill>
        <patternFill patternType="solid">
          <fgColor theme="0" tint="-0.14999847407452621"/>
          <bgColor theme="0"/>
        </patternFill>
      </fill>
      <border diagonalUp="0" diagonalDown="0">
        <left/>
        <right/>
        <top style="thin">
          <color theme="8"/>
        </top>
        <bottom/>
        <vertical/>
        <horizontal/>
      </border>
    </dxf>
    <dxf>
      <numFmt numFmtId="2" formatCode="0.00"/>
      <fill>
        <patternFill patternType="solid">
          <fgColor theme="0" tint="-0.14999847407452621"/>
          <bgColor theme="0"/>
        </patternFill>
      </fill>
      <border diagonalUp="0" diagonalDown="0">
        <left/>
        <right/>
        <top style="thin">
          <color theme="8"/>
        </top>
        <bottom/>
        <vertical/>
        <horizontal/>
      </border>
    </dxf>
    <dxf>
      <numFmt numFmtId="2" formatCode="0.00"/>
      <fill>
        <patternFill patternType="solid">
          <fgColor theme="0" tint="-0.14999847407452621"/>
          <bgColor theme="0"/>
        </patternFill>
      </fill>
      <border diagonalUp="0" diagonalDown="0">
        <left/>
        <right/>
        <top style="thin">
          <color theme="8"/>
        </top>
        <bottom/>
        <vertical/>
        <horizontal/>
      </border>
    </dxf>
    <dxf>
      <fill>
        <patternFill patternType="solid">
          <fgColor theme="0" tint="-0.14999847407452621"/>
          <bgColor theme="0"/>
        </patternFill>
      </fill>
      <border diagonalUp="0" diagonalDown="0">
        <left/>
        <right/>
        <top style="thin">
          <color theme="8"/>
        </top>
        <bottom/>
        <vertical/>
        <horizontal/>
      </border>
    </dxf>
    <dxf>
      <fill>
        <patternFill patternType="solid">
          <fgColor theme="0" tint="-0.14999847407452621"/>
          <bgColor theme="0"/>
        </patternFill>
      </fill>
      <border diagonalUp="0" diagonalDown="0">
        <left/>
        <right/>
        <top style="thin">
          <color theme="8"/>
        </top>
        <bottom/>
        <vertical/>
        <horizontal/>
      </border>
    </dxf>
    <dxf>
      <border outline="0">
        <left style="thin">
          <color theme="8"/>
        </left>
        <right style="thin">
          <color theme="8"/>
        </right>
        <top style="thin">
          <color theme="1"/>
        </top>
        <bottom style="thin">
          <color theme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Mary-Melody MOREL" id="{19C2A8EC-E597-45DF-861D-A55A6A140C4B}" userId="Mary-Melody MOREL" providerId="Non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42D8DA-F95B-4DCF-84E4-215AAFF7B3EC}" name="Table1" displayName="Table1" ref="A6:E46" totalsRowShown="0" headerRowDxfId="0" dataDxfId="1" tableBorderDxfId="7">
  <autoFilter ref="A6:E46" xr:uid="{8F42D8DA-F95B-4DCF-84E4-215AAFF7B3EC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E41005E6-1F2F-4AEC-862C-1043973AA882}" name="Company" dataDxfId="6"/>
    <tableColumn id="2" xr3:uid="{8216EC62-B26E-4E4C-ACF9-5D7E24C19911}" name="S Fixing price as at 19/05/2026 (BBG data)" dataDxfId="5"/>
    <tableColumn id="3" xr3:uid="{648F9C55-575A-403E-B72D-06BDD69A8689}" name="Strike K" dataDxfId="4"/>
    <tableColumn id="4" xr3:uid="{BDA6BE3C-1CA6-49AF-A78B-A20EF7EEE05D}" name="BSM Put Premium" dataDxfId="3">
      <calculatedColumnFormula array="1">BSM_put(B7,C7,$D$1,$D$4,$D$2)</calculatedColumnFormula>
    </tableColumn>
    <tableColumn id="5" xr3:uid="{94BAE41D-8853-48C2-8F98-6A660E7CD41B}" name="BSM Call Premium" dataDxfId="2">
      <calculatedColumnFormula array="1">BSM_call(B7,C7,$D$1,$D$4,$D$2)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18" dT="2026-05-21T13:53:28.26" personId="{19C2A8EC-E597-45DF-861D-A55A6A140C4B}" id="{808A9338-197D-4478-8FF7-A23E49A0943D}">
    <text>ATM by default (no real data)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75887-D5B3-48CE-BDB4-792A6DC4A6FC}">
  <sheetPr codeName="Sheet1"/>
  <dimension ref="A1:G46"/>
  <sheetViews>
    <sheetView tabSelected="1" zoomScale="85" zoomScaleNormal="85" workbookViewId="0">
      <selection activeCell="J12" sqref="J12"/>
    </sheetView>
  </sheetViews>
  <sheetFormatPr defaultColWidth="11.42578125" defaultRowHeight="15" x14ac:dyDescent="0.25"/>
  <cols>
    <col min="1" max="1" width="29.7109375" bestFit="1" customWidth="1"/>
    <col min="2" max="2" width="38.140625" bestFit="1" customWidth="1"/>
    <col min="3" max="3" width="21" bestFit="1" customWidth="1"/>
    <col min="4" max="4" width="17" style="3" bestFit="1" customWidth="1"/>
    <col min="5" max="5" width="17.7109375" bestFit="1" customWidth="1"/>
    <col min="7" max="7" width="18.7109375" customWidth="1"/>
    <col min="8" max="8" width="22.140625" customWidth="1"/>
  </cols>
  <sheetData>
    <row r="1" spans="1:7" x14ac:dyDescent="0.25">
      <c r="A1" t="s">
        <v>0</v>
      </c>
      <c r="B1" s="1">
        <v>46161</v>
      </c>
      <c r="C1" s="2" t="s">
        <v>1</v>
      </c>
      <c r="D1">
        <v>2.8000000000000001E-2</v>
      </c>
    </row>
    <row r="2" spans="1:7" x14ac:dyDescent="0.25">
      <c r="B2" s="1"/>
      <c r="C2" s="2" t="s">
        <v>2</v>
      </c>
      <c r="D2">
        <v>0.21729999999999999</v>
      </c>
    </row>
    <row r="3" spans="1:7" x14ac:dyDescent="0.25">
      <c r="B3" s="1"/>
      <c r="C3" s="2" t="s">
        <v>3</v>
      </c>
      <c r="D3" s="1">
        <v>46556</v>
      </c>
    </row>
    <row r="4" spans="1:7" x14ac:dyDescent="0.25">
      <c r="B4" s="1"/>
      <c r="C4" s="2" t="s">
        <v>4</v>
      </c>
      <c r="D4">
        <v>1.0972222222222223</v>
      </c>
    </row>
    <row r="5" spans="1:7" ht="16.5" customHeight="1" x14ac:dyDescent="0.25"/>
    <row r="6" spans="1:7" x14ac:dyDescent="0.25">
      <c r="A6" s="11" t="s">
        <v>46</v>
      </c>
      <c r="B6" s="11" t="s">
        <v>49</v>
      </c>
      <c r="C6" s="11" t="s">
        <v>5</v>
      </c>
      <c r="D6" s="11" t="s">
        <v>47</v>
      </c>
      <c r="E6" s="11" t="s">
        <v>48</v>
      </c>
    </row>
    <row r="7" spans="1:7" x14ac:dyDescent="0.25">
      <c r="A7" s="5" t="s">
        <v>24</v>
      </c>
      <c r="B7" s="5">
        <v>1607</v>
      </c>
      <c r="C7" s="6">
        <v>1600</v>
      </c>
      <c r="D7" s="6" cm="1">
        <f t="array" ref="D7">BSM_put(B7,C7,$D$1,$D$4,$D$2)</f>
        <v>117.08667319585511</v>
      </c>
      <c r="E7" s="6" cm="1">
        <f t="array" ref="E7">BSM_call(B7,C7,$D$1,$D$4,$D$2)</f>
        <v>172.49481839202261</v>
      </c>
    </row>
    <row r="8" spans="1:7" ht="15.75" customHeight="1" x14ac:dyDescent="0.25">
      <c r="A8" s="7" t="s">
        <v>28</v>
      </c>
      <c r="B8" s="7">
        <v>462</v>
      </c>
      <c r="C8" s="8">
        <v>450</v>
      </c>
      <c r="D8" s="8" cm="1">
        <f t="array" ref="D8">BSM_put(B8,C8,$D$1,$D$4,$D$2)</f>
        <v>29.159759716791601</v>
      </c>
      <c r="E8" s="8" cm="1">
        <f t="array" ref="E8">BSM_call(B8,C8,$D$1,$D$4,$D$2)</f>
        <v>54.774550553213707</v>
      </c>
    </row>
    <row r="9" spans="1:7" x14ac:dyDescent="0.25">
      <c r="A9" s="9" t="s">
        <v>27</v>
      </c>
      <c r="B9" s="9">
        <v>357.2</v>
      </c>
      <c r="C9" s="10">
        <v>350</v>
      </c>
      <c r="D9" s="10" cm="1">
        <f t="array" ref="D9">BSM_put(B9,C9,$D$1,$D$4,$D$2)</f>
        <v>23.453514119243909</v>
      </c>
      <c r="E9" s="10" cm="1">
        <f t="array" ref="E9">BSM_call(B9,C9,$D$1,$D$4,$D$2)</f>
        <v>41.24279588090554</v>
      </c>
    </row>
    <row r="10" spans="1:7" x14ac:dyDescent="0.25">
      <c r="A10" s="7" t="s">
        <v>34</v>
      </c>
      <c r="B10" s="7">
        <v>274.2</v>
      </c>
      <c r="C10" s="8">
        <v>300</v>
      </c>
      <c r="D10" s="8" cm="1">
        <f t="array" ref="D10">BSM_put(B10,C10,$D$1,$D$4,$D$2)</f>
        <v>34.822054393257822</v>
      </c>
      <c r="E10" s="8" cm="1">
        <f t="array" ref="E10">BSM_call(B10,C10,$D$1,$D$4,$D$2)</f>
        <v>18.098581617539221</v>
      </c>
    </row>
    <row r="11" spans="1:7" x14ac:dyDescent="0.25">
      <c r="A11" s="9" t="s">
        <v>37</v>
      </c>
      <c r="B11" s="9">
        <v>255.8</v>
      </c>
      <c r="C11" s="10">
        <v>240</v>
      </c>
      <c r="D11" s="10" cm="1">
        <f t="array" ref="D11">BSM_put(B11,C11,$D$1,$D$4,$D$2)</f>
        <v>12.472785411007633</v>
      </c>
      <c r="E11" s="10" cm="1">
        <f t="array" ref="E11">BSM_call(B11,C11,$D$1,$D$4,$D$2)</f>
        <v>35.534007190432767</v>
      </c>
    </row>
    <row r="12" spans="1:7" x14ac:dyDescent="0.25">
      <c r="A12" s="9" t="s">
        <v>25</v>
      </c>
      <c r="B12" s="9">
        <v>241.25</v>
      </c>
      <c r="C12" s="10">
        <v>240</v>
      </c>
      <c r="D12" s="10" cm="1">
        <f t="array" ref="D12">BSM_put(B12,C12,$D$1,$D$4,$D$2)</f>
        <v>17.484268219803887</v>
      </c>
      <c r="E12" s="10" cm="1">
        <f t="array" ref="E12">BSM_call(B12,C12,$D$1,$D$4,$D$2)</f>
        <v>25.995489999229012</v>
      </c>
    </row>
    <row r="13" spans="1:7" x14ac:dyDescent="0.25">
      <c r="A13" s="9" t="s">
        <v>41</v>
      </c>
      <c r="B13" s="9">
        <v>226.3</v>
      </c>
      <c r="C13" s="10">
        <v>220</v>
      </c>
      <c r="D13" s="10" cm="1">
        <f t="array" ref="D13">BSM_put(B13,C13,$D$1,$D$4,$D$2)</f>
        <v>14.101525634135283</v>
      </c>
      <c r="E13" s="10" cm="1">
        <f t="array" ref="E13">BSM_call(B13,C13,$D$1,$D$4,$D$2)</f>
        <v>27.057645598608325</v>
      </c>
      <c r="G13" s="4"/>
    </row>
    <row r="14" spans="1:7" x14ac:dyDescent="0.25">
      <c r="A14" s="9" t="s">
        <v>21</v>
      </c>
      <c r="B14" s="9">
        <v>176</v>
      </c>
      <c r="C14" s="10">
        <v>180</v>
      </c>
      <c r="D14" s="10" cm="1">
        <f t="array" ref="D14">BSM_put(B14,C14,$D$1,$D$4,$D$2)</f>
        <v>15.169433707602087</v>
      </c>
      <c r="E14" s="10" cm="1">
        <f t="array" ref="E14">BSM_call(B14,C14,$D$1,$D$4,$D$2)</f>
        <v>16.615350042170931</v>
      </c>
    </row>
    <row r="15" spans="1:7" x14ac:dyDescent="0.25">
      <c r="A15" s="9" t="s">
        <v>7</v>
      </c>
      <c r="B15" s="9">
        <v>174.1</v>
      </c>
      <c r="C15" s="10">
        <v>180</v>
      </c>
      <c r="D15" s="10" cm="1">
        <f t="array" ref="D15">BSM_put(B15,C15,$D$1,$D$4,$D$2)</f>
        <v>16.023998920174165</v>
      </c>
      <c r="E15" s="10" cm="1">
        <f t="array" ref="E15">BSM_call(B15,C15,$D$1,$D$4,$D$2)</f>
        <v>15.569915254743004</v>
      </c>
    </row>
    <row r="16" spans="1:7" x14ac:dyDescent="0.25">
      <c r="A16" s="7" t="s">
        <v>8</v>
      </c>
      <c r="B16" s="7">
        <v>169.1</v>
      </c>
      <c r="C16" s="8">
        <v>170</v>
      </c>
      <c r="D16" s="8" cm="1">
        <f t="array" ref="D16">BSM_put(B16,C16,$D$1,$D$4,$D$2)</f>
        <v>13.102166906482113</v>
      </c>
      <c r="E16" s="8" cm="1">
        <f t="array" ref="E16">BSM_call(B16,C16,$D$1,$D$4,$D$2)</f>
        <v>17.345532333574905</v>
      </c>
    </row>
    <row r="17" spans="1:5" x14ac:dyDescent="0.25">
      <c r="A17" s="7" t="s">
        <v>26</v>
      </c>
      <c r="B17" s="7">
        <v>145.6</v>
      </c>
      <c r="C17" s="8">
        <v>140</v>
      </c>
      <c r="D17" s="8" cm="1">
        <f t="array" ref="D17">BSM_put(B17,C17,$D$1,$D$4,$D$2)</f>
        <v>8.4237247424536719</v>
      </c>
      <c r="E17" s="8" cm="1">
        <f t="array" ref="E17">BSM_call(B17,C17,$D$1,$D$4,$D$2)</f>
        <v>18.259437447118323</v>
      </c>
    </row>
    <row r="18" spans="1:5" x14ac:dyDescent="0.25">
      <c r="A18" s="9" t="s">
        <v>23</v>
      </c>
      <c r="B18" s="9">
        <v>140.30000000000001</v>
      </c>
      <c r="C18" s="10">
        <v>140.30000000000001</v>
      </c>
      <c r="D18" s="10" cm="1">
        <f t="array" ref="D18">BSM_put(B18,C18,$D$1,$D$4,$D$2)</f>
        <v>10.511371295691518</v>
      </c>
      <c r="E18" s="10" cm="1">
        <f t="array" ref="E18">BSM_call(B18,C18,$D$1,$D$4,$D$2)</f>
        <v>14.756160527580457</v>
      </c>
    </row>
    <row r="19" spans="1:5" x14ac:dyDescent="0.25">
      <c r="A19" s="9" t="s">
        <v>19</v>
      </c>
      <c r="B19" s="9">
        <v>129.19999999999999</v>
      </c>
      <c r="C19" s="10">
        <v>120</v>
      </c>
      <c r="D19" s="10" cm="1">
        <f t="array" ref="D19">BSM_put(B19,C19,$D$1,$D$4,$D$2)</f>
        <v>5.8583723612054603</v>
      </c>
      <c r="E19" s="10" cm="1">
        <f t="array" ref="E19">BSM_call(B19,C19,$D$1,$D$4,$D$2)</f>
        <v>18.68898325091801</v>
      </c>
    </row>
    <row r="20" spans="1:5" x14ac:dyDescent="0.25">
      <c r="A20" s="9" t="s">
        <v>45</v>
      </c>
      <c r="B20" s="9">
        <v>122.95</v>
      </c>
      <c r="C20" s="10">
        <v>120</v>
      </c>
      <c r="D20" s="10" cm="1">
        <f t="array" ref="D20">BSM_put(B20,C20,$D$1,$D$4,$D$2)</f>
        <v>7.8657973895068016</v>
      </c>
      <c r="E20" s="10" cm="1">
        <f t="array" ref="E20">BSM_call(B20,C20,$D$1,$D$4,$D$2)</f>
        <v>14.446408279219368</v>
      </c>
    </row>
    <row r="21" spans="1:5" x14ac:dyDescent="0.25">
      <c r="A21" s="7" t="s">
        <v>14</v>
      </c>
      <c r="B21" s="7">
        <v>105.3</v>
      </c>
      <c r="C21" s="8">
        <v>100</v>
      </c>
      <c r="D21" s="8" cm="1">
        <f t="array" ref="D21">BSM_put(B21,C21,$D$1,$D$4,$D$2)</f>
        <v>5.5919248274599829</v>
      </c>
      <c r="E21" s="8" cm="1">
        <f t="array" ref="E21">BSM_call(B21,C21,$D$1,$D$4,$D$2)</f>
        <v>13.917433902220449</v>
      </c>
    </row>
    <row r="22" spans="1:5" x14ac:dyDescent="0.25">
      <c r="A22" s="9" t="s">
        <v>43</v>
      </c>
      <c r="B22" s="9">
        <v>96.2</v>
      </c>
      <c r="C22" s="10">
        <v>100</v>
      </c>
      <c r="D22" s="10" cm="1">
        <f t="array" ref="D22">BSM_put(B22,C22,$D$1,$D$4,$D$2)</f>
        <v>9.1445077744476055</v>
      </c>
      <c r="E22" s="10" cm="1">
        <f t="array" ref="E22">BSM_call(B22,C22,$D$1,$D$4,$D$2)</f>
        <v>8.3700168492080778</v>
      </c>
    </row>
    <row r="23" spans="1:5" x14ac:dyDescent="0.25">
      <c r="A23" s="9" t="s">
        <v>11</v>
      </c>
      <c r="B23" s="9">
        <v>87.5</v>
      </c>
      <c r="C23" s="10">
        <v>90</v>
      </c>
      <c r="D23" s="10" cm="1">
        <f t="array" ref="D23">BSM_put(B23,C23,$D$1,$D$4,$D$2)</f>
        <v>7.8073672743377891</v>
      </c>
      <c r="E23" s="10" cm="1">
        <f t="array" ref="E23">BSM_call(B23,C23,$D$1,$D$4,$D$2)</f>
        <v>8.0303254416222103</v>
      </c>
    </row>
    <row r="24" spans="1:5" x14ac:dyDescent="0.25">
      <c r="A24" s="7" t="s">
        <v>32</v>
      </c>
      <c r="B24" s="7">
        <v>83.7</v>
      </c>
      <c r="C24" s="8">
        <v>80</v>
      </c>
      <c r="D24" s="8" cm="1">
        <f t="array" ref="D24">BSM_put(B24,C24,$D$1,$D$4,$D$2)</f>
        <v>4.6475308293256692</v>
      </c>
      <c r="E24" s="8" cm="1">
        <f t="array" ref="E24">BSM_call(B24,C24,$D$1,$D$4,$D$2)</f>
        <v>10.767938089134047</v>
      </c>
    </row>
    <row r="25" spans="1:5" x14ac:dyDescent="0.25">
      <c r="A25" s="7" t="s">
        <v>42</v>
      </c>
      <c r="B25" s="7">
        <v>79.790000000000006</v>
      </c>
      <c r="C25" s="8">
        <v>80</v>
      </c>
      <c r="D25" s="8" cm="1">
        <f t="array" ref="D25">BSM_put(B25,C25,$D$1,$D$4,$D$2)</f>
        <v>6.0784941672092456</v>
      </c>
      <c r="E25" s="8" cm="1">
        <f t="array" ref="E25">BSM_call(B25,C25,$D$1,$D$4,$D$2)</f>
        <v>8.2889014270176276</v>
      </c>
    </row>
    <row r="26" spans="1:5" x14ac:dyDescent="0.25">
      <c r="A26" s="7" t="s">
        <v>36</v>
      </c>
      <c r="B26" s="7">
        <v>75.2</v>
      </c>
      <c r="C26" s="8">
        <v>80</v>
      </c>
      <c r="D26" s="8" cm="1">
        <f t="array" ref="D26">BSM_put(B26,C26,$D$1,$D$4,$D$2)</f>
        <v>8.1759868607735715</v>
      </c>
      <c r="E26" s="8" cm="1">
        <f t="array" ref="E26">BSM_call(B26,C26,$D$1,$D$4,$D$2)</f>
        <v>5.7963941205819483</v>
      </c>
    </row>
    <row r="27" spans="1:5" x14ac:dyDescent="0.25">
      <c r="A27" s="9" t="s">
        <v>35</v>
      </c>
      <c r="B27" s="9">
        <v>73.02</v>
      </c>
      <c r="C27" s="10">
        <v>70</v>
      </c>
      <c r="D27" s="10" cm="1">
        <f t="array" ref="D27">BSM_put(B27,C27,$D$1,$D$4,$D$2)</f>
        <v>4.1382882711462647</v>
      </c>
      <c r="E27" s="10" cm="1">
        <f t="array" ref="E27">BSM_call(B27,C27,$D$1,$D$4,$D$2)</f>
        <v>9.2761446234785883</v>
      </c>
    </row>
    <row r="28" spans="1:5" x14ac:dyDescent="0.25">
      <c r="A28" s="7" t="s">
        <v>38</v>
      </c>
      <c r="B28" s="7">
        <v>66.510000000000005</v>
      </c>
      <c r="C28" s="8">
        <v>65</v>
      </c>
      <c r="D28" s="8" cm="1">
        <f t="array" ref="D28">BSM_put(B28,C28,$D$1,$D$4,$D$2)</f>
        <v>4.2924839339959089</v>
      </c>
      <c r="E28" s="8" cm="1">
        <f t="array" ref="E28">BSM_call(B28,C28,$D$1,$D$4,$D$2)</f>
        <v>7.7690648325902192</v>
      </c>
    </row>
    <row r="29" spans="1:5" x14ac:dyDescent="0.25">
      <c r="A29" s="9" t="s">
        <v>17</v>
      </c>
      <c r="B29" s="9">
        <v>63.5</v>
      </c>
      <c r="C29" s="10">
        <v>60</v>
      </c>
      <c r="D29" s="10" cm="1">
        <f t="array" ref="D29">BSM_put(B29,C29,$D$1,$D$4,$D$2)</f>
        <v>3.2549268203321771</v>
      </c>
      <c r="E29" s="10" cm="1">
        <f t="array" ref="E29">BSM_call(B29,C29,$D$1,$D$4,$D$2)</f>
        <v>8.5702322651884586</v>
      </c>
    </row>
    <row r="30" spans="1:5" x14ac:dyDescent="0.25">
      <c r="A30" s="9" t="s">
        <v>31</v>
      </c>
      <c r="B30" s="9">
        <v>63.2</v>
      </c>
      <c r="C30" s="10">
        <v>60</v>
      </c>
      <c r="D30" s="10" cm="1">
        <f t="array" ref="D30">BSM_put(B30,C30,$D$1,$D$4,$D$2)</f>
        <v>3.34881673346788</v>
      </c>
      <c r="E30" s="10" cm="1">
        <f t="array" ref="E30">BSM_call(B30,C30,$D$1,$D$4,$D$2)</f>
        <v>8.3641221783241644</v>
      </c>
    </row>
    <row r="31" spans="1:5" x14ac:dyDescent="0.25">
      <c r="A31" s="7" t="s">
        <v>22</v>
      </c>
      <c r="B31" s="7">
        <v>61.3</v>
      </c>
      <c r="C31" s="8">
        <v>60</v>
      </c>
      <c r="D31" s="8" cm="1">
        <f t="array" ref="D31">BSM_put(B31,C31,$D$1,$D$4,$D$2)</f>
        <v>3.9965047816133836</v>
      </c>
      <c r="E31" s="8" cm="1">
        <f t="array" ref="E31">BSM_call(B31,C31,$D$1,$D$4,$D$2)</f>
        <v>7.1118102264696619</v>
      </c>
    </row>
    <row r="32" spans="1:5" x14ac:dyDescent="0.25">
      <c r="A32" s="7" t="s">
        <v>40</v>
      </c>
      <c r="B32" s="7">
        <v>52.15</v>
      </c>
      <c r="C32" s="8">
        <v>55</v>
      </c>
      <c r="D32" s="8" cm="1">
        <f t="array" ref="D32">BSM_put(B32,C32,$D$1,$D$4,$D$2)</f>
        <v>5.395274317811797</v>
      </c>
      <c r="E32" s="8" cm="1">
        <f t="array" ref="E32">BSM_call(B32,C32,$D$1,$D$4,$D$2)</f>
        <v>4.2093043089300535</v>
      </c>
    </row>
    <row r="33" spans="1:5" x14ac:dyDescent="0.25">
      <c r="A33" s="9" t="s">
        <v>9</v>
      </c>
      <c r="B33" s="9">
        <v>51.26</v>
      </c>
      <c r="C33" s="10">
        <v>50</v>
      </c>
      <c r="D33" s="10" cm="1">
        <f t="array" ref="D33">BSM_put(B33,C33,$D$1,$D$4,$D$2)</f>
        <v>3.2662964358476567</v>
      </c>
      <c r="E33" s="10" cm="1">
        <f t="array" ref="E33">BSM_call(B33,C33,$D$1,$D$4,$D$2)</f>
        <v>6.039050973227889</v>
      </c>
    </row>
    <row r="34" spans="1:5" x14ac:dyDescent="0.25">
      <c r="A34" s="7" t="s">
        <v>12</v>
      </c>
      <c r="B34" s="7">
        <v>49.71</v>
      </c>
      <c r="C34" s="8">
        <v>50</v>
      </c>
      <c r="D34" s="8" cm="1">
        <f t="array" ref="D34">BSM_put(B34,C34,$D$1,$D$4,$D$2)</f>
        <v>3.8639805791620199</v>
      </c>
      <c r="E34" s="8" cm="1">
        <f t="array" ref="E34">BSM_call(B34,C34,$D$1,$D$4,$D$2)</f>
        <v>5.086735116542255</v>
      </c>
    </row>
    <row r="35" spans="1:5" x14ac:dyDescent="0.25">
      <c r="A35" s="7" t="s">
        <v>6</v>
      </c>
      <c r="B35" s="7">
        <v>43.41</v>
      </c>
      <c r="C35" s="8">
        <v>45</v>
      </c>
      <c r="D35" s="8" cm="1">
        <f t="array" ref="D35">BSM_put(B35,C35,$D$1,$D$4,$D$2)</f>
        <v>4.0590767782122184</v>
      </c>
      <c r="E35" s="8" cm="1">
        <f t="array" ref="E35">BSM_call(B35,C35,$D$1,$D$4,$D$2)</f>
        <v>3.830555861854426</v>
      </c>
    </row>
    <row r="36" spans="1:5" x14ac:dyDescent="0.25">
      <c r="A36" s="7" t="s">
        <v>10</v>
      </c>
      <c r="B36" s="7">
        <v>40.33</v>
      </c>
      <c r="C36" s="8">
        <v>40</v>
      </c>
      <c r="D36" s="8" cm="1">
        <f t="array" ref="D36">BSM_put(B36,C36,$D$1,$D$4,$D$2)</f>
        <v>2.8665444355475445</v>
      </c>
      <c r="E36" s="8" cm="1">
        <f t="array" ref="E36">BSM_call(B36,C36,$D$1,$D$4,$D$2)</f>
        <v>4.4067480654517297</v>
      </c>
    </row>
    <row r="37" spans="1:5" x14ac:dyDescent="0.25">
      <c r="A37" s="7" t="s">
        <v>44</v>
      </c>
      <c r="B37" s="7">
        <v>34.270000000000003</v>
      </c>
      <c r="C37" s="8">
        <v>35</v>
      </c>
      <c r="D37" s="8" cm="1">
        <f t="array" ref="D37">BSM_put(B37,C37,$D$1,$D$4,$D$2)</f>
        <v>2.9286303424862838</v>
      </c>
      <c r="E37" s="8" cm="1">
        <f t="array" ref="E37">BSM_call(B37,C37,$D$1,$D$4,$D$2)</f>
        <v>3.2575585186524512</v>
      </c>
    </row>
    <row r="38" spans="1:5" x14ac:dyDescent="0.25">
      <c r="A38" s="9" t="s">
        <v>29</v>
      </c>
      <c r="B38" s="9">
        <v>30.79</v>
      </c>
      <c r="C38" s="10">
        <v>30</v>
      </c>
      <c r="D38" s="10" cm="1">
        <f t="array" ref="D38">BSM_put(B38,C38,$D$1,$D$4,$D$2)</f>
        <v>1.9475644331916429</v>
      </c>
      <c r="E38" s="10" cm="1">
        <f t="array" ref="E38">BSM_call(B38,C38,$D$1,$D$4,$D$2)</f>
        <v>3.6452171556197825</v>
      </c>
    </row>
    <row r="39" spans="1:5" x14ac:dyDescent="0.25">
      <c r="A39" s="9" t="s">
        <v>33</v>
      </c>
      <c r="B39" s="9">
        <v>28.06</v>
      </c>
      <c r="C39" s="10">
        <v>28</v>
      </c>
      <c r="D39" s="10" cm="1">
        <f t="array" ref="D39">BSM_put(B39,C39,$D$1,$D$4,$D$2)</f>
        <v>2.0737822042858824</v>
      </c>
      <c r="E39" s="10" cm="1">
        <f t="array" ref="E39">BSM_call(B39,C39,$D$1,$D$4,$D$2)</f>
        <v>2.9809247452188123</v>
      </c>
    </row>
    <row r="40" spans="1:5" x14ac:dyDescent="0.25">
      <c r="A40" s="7" t="s">
        <v>20</v>
      </c>
      <c r="B40" s="7">
        <v>27.03</v>
      </c>
      <c r="C40" s="8">
        <v>28</v>
      </c>
      <c r="D40" s="8" cm="1">
        <f t="array" ref="D40">BSM_put(B40,C40,$D$1,$D$4,$D$2)</f>
        <v>2.5166921046492563</v>
      </c>
      <c r="E40" s="8" cm="1">
        <f t="array" ref="E40">BSM_call(B40,C40,$D$1,$D$4,$D$2)</f>
        <v>2.3938346455821886</v>
      </c>
    </row>
    <row r="41" spans="1:5" x14ac:dyDescent="0.25">
      <c r="A41" s="9" t="s">
        <v>13</v>
      </c>
      <c r="B41" s="9">
        <v>26.71</v>
      </c>
      <c r="C41" s="10">
        <v>26</v>
      </c>
      <c r="D41" s="10" cm="1">
        <f t="array" ref="D41">BSM_put(B41,C41,$D$1,$D$4,$D$2)</f>
        <v>1.6788316645696553</v>
      </c>
      <c r="E41" s="10" cm="1">
        <f t="array" ref="E41">BSM_call(B41,C41,$D$1,$D$4,$D$2)</f>
        <v>3.1754640240073777</v>
      </c>
    </row>
    <row r="42" spans="1:5" x14ac:dyDescent="0.25">
      <c r="A42" s="7" t="s">
        <v>18</v>
      </c>
      <c r="B42" s="7">
        <v>20.28</v>
      </c>
      <c r="C42" s="8">
        <v>20</v>
      </c>
      <c r="D42" s="8" cm="1">
        <f t="array" ref="D42">BSM_put(B42,C42,$D$1,$D$4,$D$2)</f>
        <v>1.38921680560115</v>
      </c>
      <c r="E42" s="8" cm="1">
        <f t="array" ref="E42">BSM_call(B42,C42,$D$1,$D$4,$D$2)</f>
        <v>2.2743186205532449</v>
      </c>
    </row>
    <row r="43" spans="1:5" x14ac:dyDescent="0.25">
      <c r="A43" s="7" t="s">
        <v>30</v>
      </c>
      <c r="B43" s="7">
        <v>18.739999999999998</v>
      </c>
      <c r="C43" s="8">
        <v>18</v>
      </c>
      <c r="D43" s="8" cm="1">
        <f t="array" ref="D43">BSM_put(B43,C43,$D$1,$D$4,$D$2)</f>
        <v>1.0763305561404695</v>
      </c>
      <c r="E43" s="8" cm="1">
        <f t="array" ref="E43">BSM_call(B43,C43,$D$1,$D$4,$D$2)</f>
        <v>2.360922189597352</v>
      </c>
    </row>
    <row r="44" spans="1:5" x14ac:dyDescent="0.25">
      <c r="A44" s="9" t="s">
        <v>15</v>
      </c>
      <c r="B44" s="9">
        <v>17.274999999999999</v>
      </c>
      <c r="C44" s="10">
        <v>18</v>
      </c>
      <c r="D44" s="10" cm="1">
        <f t="array" ref="D44">BSM_put(B44,C44,$D$1,$D$4,$D$2)</f>
        <v>1.6653123041103612</v>
      </c>
      <c r="E44" s="10" cm="1">
        <f t="array" ref="E44">BSM_call(B44,C44,$D$1,$D$4,$D$2)</f>
        <v>1.4849039375672441</v>
      </c>
    </row>
    <row r="45" spans="1:5" x14ac:dyDescent="0.25">
      <c r="A45" s="7" t="s">
        <v>16</v>
      </c>
      <c r="B45" s="7">
        <v>16.87</v>
      </c>
      <c r="C45" s="8">
        <v>16</v>
      </c>
      <c r="D45" s="8" cm="1">
        <f t="array" ref="D45">BSM_put(B45,C45,$D$1,$D$4,$D$2)</f>
        <v>0.88775299656338236</v>
      </c>
      <c r="E45" s="8" cm="1">
        <f t="array" ref="E45">BSM_call(B45,C45,$D$1,$D$4,$D$2)</f>
        <v>2.2418344485250583</v>
      </c>
    </row>
    <row r="46" spans="1:5" x14ac:dyDescent="0.25">
      <c r="A46" s="9" t="s">
        <v>39</v>
      </c>
      <c r="B46" s="9">
        <v>6.3609999999999998</v>
      </c>
      <c r="C46" s="10">
        <v>6</v>
      </c>
      <c r="D46" s="10" cm="1">
        <f t="array" ref="D46">BSM_put(B46,C46,$D$1,$D$4,$D$2)</f>
        <v>0.32210521220924349</v>
      </c>
      <c r="E46" s="10" cm="1">
        <f t="array" ref="E46">BSM_call(B46,C46,$D$1,$D$4,$D$2)</f>
        <v>0.86463575669487136</v>
      </c>
    </row>
  </sheetData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Options CAC 40 stocks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Mary-Melody MOREL</dc:creator>
  <cp:lastModifiedBy>Mary-Melody MOREL</cp:lastModifiedBy>
  <dcterms:created xsi:type="dcterms:W3CDTF">2026-05-20T14:32:52Z</dcterms:created>
  <dcterms:modified xsi:type="dcterms:W3CDTF">2026-06-04T13:16:01Z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8ed5431-0ab7-4c1b-98f4-d4e50f674d02_Enabled">
    <vt:lpwstr>true</vt:lpwstr>
  </property>
  <property fmtid="{D5CDD505-2E9C-101B-9397-08002B2CF9AE}" pid="3" name="MSIP_Label_48ed5431-0ab7-4c1b-98f4-d4e50f674d02_SetDate">
    <vt:lpwstr>2026-06-01T10:04:16Z</vt:lpwstr>
  </property>
  <property fmtid="{D5CDD505-2E9C-101B-9397-08002B2CF9AE}" pid="4" name="MSIP_Label_48ed5431-0ab7-4c1b-98f4-d4e50f674d02_Method">
    <vt:lpwstr>Privileged</vt:lpwstr>
  </property>
  <property fmtid="{D5CDD505-2E9C-101B-9397-08002B2CF9AE}" pid="5" name="MSIP_Label_48ed5431-0ab7-4c1b-98f4-d4e50f674d02_Name">
    <vt:lpwstr>48ed5431-0ab7-4c1b-98f4-d4e50f674d02</vt:lpwstr>
  </property>
  <property fmtid="{D5CDD505-2E9C-101B-9397-08002B2CF9AE}" pid="6" name="MSIP_Label_48ed5431-0ab7-4c1b-98f4-d4e50f674d02_SiteId">
    <vt:lpwstr>614f9c25-bffa-42c7-86d8-964101f55fa2</vt:lpwstr>
  </property>
  <property fmtid="{D5CDD505-2E9C-101B-9397-08002B2CF9AE}" pid="7" name="MSIP_Label_48ed5431-0ab7-4c1b-98f4-d4e50f674d02_ActionId">
    <vt:lpwstr>2be91c81-1d08-49dd-a195-6bb888dfb5b5</vt:lpwstr>
  </property>
  <property fmtid="{D5CDD505-2E9C-101B-9397-08002B2CF9AE}" pid="8" name="MSIP_Label_48ed5431-0ab7-4c1b-98f4-d4e50f674d02_ContentBits">
    <vt:lpwstr>0</vt:lpwstr>
  </property>
  <property fmtid="{D5CDD505-2E9C-101B-9397-08002B2CF9AE}" pid="9" name="MSIP_Label_48ed5431-0ab7-4c1b-98f4-d4e50f674d02_Tag">
    <vt:lpwstr>10, 0, 1, 1</vt:lpwstr>
  </property>
</Properties>
</file>